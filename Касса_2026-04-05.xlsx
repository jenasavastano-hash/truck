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сса" state="visible" r:id="rId4"/>
    <sheet sheetId="2" name="ЗП по дням" state="visible" r:id="rId5"/>
    <sheet sheetId="3" name="По паркам" state="visible" r:id="rId6"/>
    <sheet sheetId="4" name="Расходы" state="visible" r:id="rId7"/>
    <sheet sheetId="5" name="Помесячно" state="visible" r:id="rId8"/>
  </sheets>
  <calcPr calcId="171027"/>
</workbook>
</file>

<file path=xl/sharedStrings.xml><?xml version="1.0" encoding="utf-8"?>
<sst xmlns="http://schemas.openxmlformats.org/spreadsheetml/2006/main" count="140" uniqueCount="118">
  <si>
    <t>КАССА — ОБЩАЯ СВОДКА</t>
  </si>
  <si>
    <t>Дата формирования: 05.04.2026</t>
  </si>
  <si>
    <t>═══ ПРИХОД ═══</t>
  </si>
  <si>
    <t>Приход ЮКасса (succeeded)</t>
  </si>
  <si>
    <t xml:space="preserve">  кол-во платежей</t>
  </si>
  <si>
    <t>Приход админ (реальные, из кассы)</t>
  </si>
  <si>
    <t>ИТОГО реальный приход</t>
  </si>
  <si>
    <t>═══ КОМИССИИ И НАЛОГИ ═══</t>
  </si>
  <si>
    <t>Комиссия ЮКассы (4.7%)</t>
  </si>
  <si>
    <t>Налог (13%)</t>
  </si>
  <si>
    <t>ЧИСТЫЙ ПРИХОД</t>
  </si>
  <si>
    <t>═══ РАСХОДЫ ═══</t>
  </si>
  <si>
    <t>Всего ЭПЛ: 4951 шт.</t>
  </si>
  <si>
    <t>Всего автозакрытий: 1970 шт.</t>
  </si>
  <si>
    <t>ЗП — Ты</t>
  </si>
  <si>
    <t>ЗП — Масис</t>
  </si>
  <si>
    <t>ЗП — Инал</t>
  </si>
  <si>
    <t>Медик</t>
  </si>
  <si>
    <t>Такском</t>
  </si>
  <si>
    <t>ИТОГО расходов</t>
  </si>
  <si>
    <t>═══ РУЧНЫЕ РАСХОДЫ (впиши ниже) ═══</t>
  </si>
  <si>
    <t>Инкассация (вписать сумму →)</t>
  </si>
  <si>
    <t>Доп. расход 1 (вписать →)</t>
  </si>
  <si>
    <t>Доп. расход 2 (вписать →)</t>
  </si>
  <si>
    <t>Доп. расход 3 (вписать →)</t>
  </si>
  <si>
    <t>══════════════════════════════════════</t>
  </si>
  <si>
    <t>ПОСЛЕ РАСХОДОВ</t>
  </si>
  <si>
    <t>═══ ОБОРОТНЫЕ ДЕНЬГИ ═══</t>
  </si>
  <si>
    <t>На балансах водителей (реал)</t>
  </si>
  <si>
    <t>На балансах водителей (бонус)</t>
  </si>
  <si>
    <t>Водителей в системе: 426</t>
  </si>
  <si>
    <t>═══ ОСТАТОК С ПАРКОВ ═══</t>
  </si>
  <si>
    <t>Остаток с ЭПЛ и АЗ (после ЗП, медик, такском)</t>
  </si>
  <si>
    <t>Обычн парк: ~4.73₽/ЭПЛ | Тула/СПб: ~5.73₽/ЭПЛ</t>
  </si>
  <si>
    <t>💰 РЕАЛ НА КАРТЕ (чистый приход − расходы − оборотные)</t>
  </si>
  <si>
    <t/>
  </si>
  <si>
    <t>Оборотные = реал деньги водителей на балансах.</t>
  </si>
  <si>
    <t>Когда водитель тратит — часть идёт в расходы, остаток тебе.</t>
  </si>
  <si>
    <t>Дата</t>
  </si>
  <si>
    <t>ЭПЛ обычн</t>
  </si>
  <si>
    <t>ЭПЛ Тула/СПб</t>
  </si>
  <si>
    <t>АЗ</t>
  </si>
  <si>
    <t>ЗП Ты</t>
  </si>
  <si>
    <t>ЗП Масис</t>
  </si>
  <si>
    <t>ЗП Инал</t>
  </si>
  <si>
    <t>Всего расход</t>
  </si>
  <si>
    <t>Остаток</t>
  </si>
  <si>
    <t>05.04.2026</t>
  </si>
  <si>
    <t>04.04.2026</t>
  </si>
  <si>
    <t>03.04.2026</t>
  </si>
  <si>
    <t>02.04.2026</t>
  </si>
  <si>
    <t>01.04.2026</t>
  </si>
  <si>
    <t>31.03.2026</t>
  </si>
  <si>
    <t>30.03.2026</t>
  </si>
  <si>
    <t>29.03.2026</t>
  </si>
  <si>
    <t>28.03.2026</t>
  </si>
  <si>
    <t>27.03.2026</t>
  </si>
  <si>
    <t>26.03.2026</t>
  </si>
  <si>
    <t>25.03.2026</t>
  </si>
  <si>
    <t>24.03.2026</t>
  </si>
  <si>
    <t>23.03.2026</t>
  </si>
  <si>
    <t>22.03.2026</t>
  </si>
  <si>
    <t>21.03.2026</t>
  </si>
  <si>
    <t>20.03.2026</t>
  </si>
  <si>
    <t>19.03.2026</t>
  </si>
  <si>
    <t>18.03.2026</t>
  </si>
  <si>
    <t>17.03.2026</t>
  </si>
  <si>
    <t>16.03.2026</t>
  </si>
  <si>
    <t>15.03.2026</t>
  </si>
  <si>
    <t>14.03.2026</t>
  </si>
  <si>
    <t>13.03.2026</t>
  </si>
  <si>
    <t>12.03.2026</t>
  </si>
  <si>
    <t>11.03.2026</t>
  </si>
  <si>
    <t>10.03.2026</t>
  </si>
  <si>
    <t>09.03.2026</t>
  </si>
  <si>
    <t>08.03.2026</t>
  </si>
  <si>
    <t>07.03.2026</t>
  </si>
  <si>
    <t>06.03.2026</t>
  </si>
  <si>
    <t>ИТОГО</t>
  </si>
  <si>
    <t>Парк</t>
  </si>
  <si>
    <t>Тип</t>
  </si>
  <si>
    <t>ЭПЛ</t>
  </si>
  <si>
    <t>ЗП/ЭПЛ (×1)</t>
  </si>
  <si>
    <t>Медик/ЭПЛ</t>
  </si>
  <si>
    <t>Такском/ЭПЛ</t>
  </si>
  <si>
    <t>Остаток/ЭПЛ</t>
  </si>
  <si>
    <t>Расходы всего</t>
  </si>
  <si>
    <t>Остаток всего</t>
  </si>
  <si>
    <t>БЕНЕФИС</t>
  </si>
  <si>
    <t>Обычный</t>
  </si>
  <si>
    <t>ШАШКА</t>
  </si>
  <si>
    <t>ФАСТРЕНТ</t>
  </si>
  <si>
    <t>МНЁВНИКИ</t>
  </si>
  <si>
    <t>Тула ТЕСТ</t>
  </si>
  <si>
    <t>Тула/СПб</t>
  </si>
  <si>
    <t>Питер ТЕСТ</t>
  </si>
  <si>
    <t>Эконом Такси 777</t>
  </si>
  <si>
    <t>Ягуар</t>
  </si>
  <si>
    <t>Формула остатка за 1 ЭПЛ:</t>
  </si>
  <si>
    <t>Чистая цена ЭПЛ = 25₽ − 4.7% − 13% = 20.73₽</t>
  </si>
  <si>
    <t>Обычный парк: 20.73 − 3₽×3(зп) − 5₽(мед) − 2₽(такс) = 4.73₽</t>
  </si>
  <si>
    <t>Тула/СПб: 20.73 − 5₽×3(зп) = 5.73₽</t>
  </si>
  <si>
    <t>АЗ: 10₽ − 4.7% − 13% = 8.29₽ − 3₽×3(зп) = -0.71₽</t>
  </si>
  <si>
    <t>Сумма</t>
  </si>
  <si>
    <t>Комментарий</t>
  </si>
  <si>
    <t>Инкассация</t>
  </si>
  <si>
    <t>Снятие наличных</t>
  </si>
  <si>
    <t>Доп. расход</t>
  </si>
  <si>
    <t>Оплата хостинга</t>
  </si>
  <si>
    <t>Месяц</t>
  </si>
  <si>
    <t>Приход реал</t>
  </si>
  <si>
    <t>Бонусы</t>
  </si>
  <si>
    <t>Расход реал</t>
  </si>
  <si>
    <t>Расход бонус</t>
  </si>
  <si>
    <t>Чистый приход</t>
  </si>
  <si>
    <t>ЗП (×1 чел)</t>
  </si>
  <si>
    <t>04.2026</t>
  </si>
  <si>
    <t>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</si>
</sst>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₽&quot;"/>
  </numFmts>
  <fonts count="14" x14ac:knownFonts="1">
    <font>
      <color theme="1"/>
      <family val="2"/>
      <scheme val="minor"/>
      <sz val="11"/>
      <name val="Calibri"/>
    </font>
    <font>
      <b/>
      <color rgb="FF1F4E79"/>
      <sz val="16"/>
    </font>
    <font>
      <i/>
      <color rgb="FF888888"/>
      <sz val="10"/>
    </font>
    <font>
      <b/>
      <color rgb="FF27AE60"/>
      <sz val="12"/>
    </font>
    <font>
      <b/>
      <sz val="12"/>
    </font>
    <font>
      <b/>
      <color rgb="FFC0392B"/>
      <sz val="12"/>
    </font>
    <font>
      <b/>
      <color rgb="FFE67E22"/>
      <sz val="12"/>
    </font>
    <font>
      <b/>
      <color rgb="FF2980B9"/>
      <sz val="12"/>
    </font>
    <font>
      <b/>
      <color rgb="FF27AE60"/>
      <sz val="14"/>
    </font>
    <font>
      <b/>
      <color rgb="FFFFFFFF"/>
      <sz val="11"/>
    </font>
    <font>
      <b/>
    </font>
    <font>
      <b/>
      <color rgb="FF27AE60"/>
    </font>
    <font>
      <b/>
      <sz val="11"/>
    </font>
    <font>
      <i/>
      <color rgb="FF999999"/>
    </font>
  </fonts>
  <fills count="9">
    <fill>
      <patternFill patternType="none"/>
    </fill>
    <fill>
      <patternFill patternType="gray125"/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F2F4F4"/>
      </patternFill>
    </fill>
    <fill>
      <patternFill patternType="solid">
        <fgColor rgb="FFFFF9C4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2" borderId="1" xfId="0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0" fontId="5" fillId="0" borderId="0" xfId="0" applyFont="1"/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0" fontId="6" fillId="0" borderId="0" xfId="0" applyFont="1"/>
    <xf numFmtId="0" fontId="0" fillId="5" borderId="1" xfId="0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164" fontId="4" fillId="6" borderId="1" xfId="0" applyNumberFormat="1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7" fillId="0" borderId="0" xfId="0" applyFont="1"/>
    <xf numFmtId="0" fontId="0" fillId="7" borderId="1" xfId="0" applyFill="1" applyBorder="1" applyAlignment="1">
      <alignment vertical="center"/>
    </xf>
    <xf numFmtId="164" fontId="0" fillId="7" borderId="1" xfId="0" applyNumberFormat="1" applyFill="1" applyBorder="1" applyAlignment="1">
      <alignment vertical="center"/>
    </xf>
    <xf numFmtId="164" fontId="8" fillId="6" borderId="1" xfId="0" applyNumberFormat="1" applyFont="1" applyFill="1" applyBorder="1" applyAlignment="1">
      <alignment vertical="center"/>
    </xf>
    <xf numFmtId="0" fontId="9" fillId="8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vertical="center"/>
    </xf>
    <xf numFmtId="3" fontId="10" fillId="6" borderId="1" xfId="0" applyNumberFormat="1" applyFont="1" applyFill="1" applyBorder="1" applyAlignment="1">
      <alignment vertical="center"/>
    </xf>
    <xf numFmtId="164" fontId="10" fillId="6" borderId="1" xfId="0" applyNumberFormat="1" applyFont="1" applyFill="1" applyBorder="1" applyAlignment="1">
      <alignment vertical="center"/>
    </xf>
    <xf numFmtId="164" fontId="11" fillId="7" borderId="1" xfId="0" applyNumberFormat="1" applyFont="1" applyFill="1" applyBorder="1" applyAlignment="1">
      <alignment vertical="center"/>
    </xf>
    <xf numFmtId="164" fontId="11" fillId="4" borderId="1" xfId="0" applyNumberFormat="1" applyFont="1" applyFill="1" applyBorder="1" applyAlignment="1">
      <alignment vertical="center"/>
    </xf>
    <xf numFmtId="0" fontId="12" fillId="0" borderId="0" xfId="0" applyFont="1"/>
    <xf numFmtId="0" fontId="13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C48"/>
  <sheetFormatPr defaultRowHeight="15" outlineLevelRow="0" outlineLevelCol="0" x14ac:dyDescent="55"/>
  <cols>
    <col min="1" max="1" width="40" customWidth="1"/>
    <col min="2" max="2" width="20" customWidth="1"/>
    <col min="3" max="3" width="15" customWidth="1"/>
  </cols>
  <sheetData>
    <row r="1" spans="1:3" x14ac:dyDescent="0.25">
      <c r="A1" s="1" t="s">
        <v>0</v>
      </c>
      <c r="B1" s="1"/>
      <c r="C1" s="1"/>
    </row>
    <row r="2" spans="1:1" x14ac:dyDescent="0.25">
      <c r="A2" s="2" t="s">
        <v>1</v>
      </c>
    </row>
    <row r="4" spans="1:1" x14ac:dyDescent="0.25">
      <c r="A4" s="3" t="s">
        <v>2</v>
      </c>
    </row>
    <row r="5" spans="1:3" x14ac:dyDescent="0.25">
      <c r="A5" s="4" t="s">
        <v>3</v>
      </c>
      <c r="B5" s="5">
        <v>158500</v>
      </c>
      <c r="C5" s="4"/>
    </row>
    <row r="6" spans="1:3" x14ac:dyDescent="0.25">
      <c r="A6" s="4" t="s">
        <v>4</v>
      </c>
      <c r="B6" s="5">
        <v>1209</v>
      </c>
      <c r="C6" s="4"/>
    </row>
    <row r="7" spans="1:3" x14ac:dyDescent="0.25">
      <c r="A7" s="4" t="s">
        <v>5</v>
      </c>
      <c r="B7" s="5">
        <v>3069</v>
      </c>
      <c r="C7" s="4"/>
    </row>
    <row r="8" spans="1:3" x14ac:dyDescent="0.25">
      <c r="A8" s="6" t="s">
        <v>6</v>
      </c>
      <c r="B8" s="7">
        <v>161569</v>
      </c>
      <c r="C8" s="4"/>
    </row>
    <row r="10" spans="1:1" x14ac:dyDescent="0.25">
      <c r="A10" s="8" t="s">
        <v>7</v>
      </c>
    </row>
    <row r="11" spans="1:3" x14ac:dyDescent="0.25">
      <c r="A11" s="9" t="s">
        <v>8</v>
      </c>
      <c r="B11" s="10">
        <v>-7449.5</v>
      </c>
      <c r="C11" s="9"/>
    </row>
    <row r="12" spans="1:3" x14ac:dyDescent="0.25">
      <c r="A12" s="9" t="s">
        <v>9</v>
      </c>
      <c r="B12" s="10">
        <v>-20035.535</v>
      </c>
      <c r="C12" s="9"/>
    </row>
    <row r="13" spans="1:3" x14ac:dyDescent="0.25">
      <c r="A13" s="6" t="s">
        <v>10</v>
      </c>
      <c r="B13" s="7">
        <v>134083.965</v>
      </c>
      <c r="C13" s="4"/>
    </row>
    <row r="15" spans="1:1" x14ac:dyDescent="0.25">
      <c r="A15" s="8" t="s">
        <v>11</v>
      </c>
    </row>
    <row r="16" spans="1:3" x14ac:dyDescent="0.25">
      <c r="A16" s="11" t="s">
        <v>12</v>
      </c>
      <c r="B16" s="12"/>
      <c r="C16" s="11"/>
    </row>
    <row r="17" spans="1:3" x14ac:dyDescent="0.25">
      <c r="A17" s="11" t="s">
        <v>13</v>
      </c>
      <c r="B17" s="12"/>
      <c r="C17" s="11"/>
    </row>
    <row r="18" spans="1:3" x14ac:dyDescent="0.25">
      <c r="A18" s="9" t="s">
        <v>14</v>
      </c>
      <c r="B18" s="10">
        <v>-23281</v>
      </c>
      <c r="C18" s="9"/>
    </row>
    <row r="19" spans="1:3" x14ac:dyDescent="0.25">
      <c r="A19" s="9" t="s">
        <v>15</v>
      </c>
      <c r="B19" s="10">
        <v>-23281</v>
      </c>
      <c r="C19" s="9"/>
    </row>
    <row r="20" spans="1:3" x14ac:dyDescent="0.25">
      <c r="A20" s="9" t="s">
        <v>16</v>
      </c>
      <c r="B20" s="10">
        <v>-23281</v>
      </c>
      <c r="C20" s="9"/>
    </row>
    <row r="21" spans="1:3" x14ac:dyDescent="0.25">
      <c r="A21" s="9" t="s">
        <v>17</v>
      </c>
      <c r="B21" s="10">
        <v>-18460</v>
      </c>
      <c r="C21" s="9"/>
    </row>
    <row r="22" spans="1:3" x14ac:dyDescent="0.25">
      <c r="A22" s="9" t="s">
        <v>18</v>
      </c>
      <c r="B22" s="10">
        <v>-7384</v>
      </c>
      <c r="C22" s="9"/>
    </row>
    <row r="23" spans="1:3" x14ac:dyDescent="0.25">
      <c r="A23" s="13" t="s">
        <v>19</v>
      </c>
      <c r="B23" s="14">
        <v>-95687</v>
      </c>
      <c r="C23" s="9"/>
    </row>
    <row r="25" spans="1:1" x14ac:dyDescent="0.25">
      <c r="A25" s="15" t="s">
        <v>20</v>
      </c>
    </row>
    <row r="26" spans="1:3" x14ac:dyDescent="0.25">
      <c r="A26" s="16" t="s">
        <v>21</v>
      </c>
      <c r="B26" s="17">
        <v>0</v>
      </c>
      <c r="C26" s="16"/>
    </row>
    <row r="27" spans="1:3" x14ac:dyDescent="0.25">
      <c r="A27" s="16" t="s">
        <v>22</v>
      </c>
      <c r="B27" s="17">
        <v>0</v>
      </c>
      <c r="C27" s="16"/>
    </row>
    <row r="28" spans="1:3" x14ac:dyDescent="0.25">
      <c r="A28" s="16" t="s">
        <v>23</v>
      </c>
      <c r="B28" s="17">
        <v>0</v>
      </c>
      <c r="C28" s="16"/>
    </row>
    <row r="29" spans="1:3" x14ac:dyDescent="0.25">
      <c r="A29" s="16" t="s">
        <v>24</v>
      </c>
      <c r="B29" s="17">
        <v>0</v>
      </c>
      <c r="C29" s="16"/>
    </row>
    <row r="31" spans="1:1" x14ac:dyDescent="0.25">
      <c r="A31" t="s">
        <v>25</v>
      </c>
    </row>
    <row r="32" spans="1:3" x14ac:dyDescent="0.25">
      <c r="A32" s="18" t="s">
        <v>26</v>
      </c>
      <c r="B32" s="19">
        <v>38396.965</v>
      </c>
      <c r="C32" s="20"/>
    </row>
    <row r="34" spans="1:1" x14ac:dyDescent="0.25">
      <c r="A34" s="21" t="s">
        <v>27</v>
      </c>
    </row>
    <row r="35" spans="1:3" x14ac:dyDescent="0.25">
      <c r="A35" s="11" t="s">
        <v>28</v>
      </c>
      <c r="B35" s="12">
        <v>35214</v>
      </c>
      <c r="C35" s="11"/>
    </row>
    <row r="36" spans="1:3" x14ac:dyDescent="0.25">
      <c r="A36" s="11" t="s">
        <v>29</v>
      </c>
      <c r="B36" s="12">
        <v>7646</v>
      </c>
      <c r="C36" s="11"/>
    </row>
    <row r="37" spans="1:3" x14ac:dyDescent="0.25">
      <c r="A37" s="11" t="s">
        <v>30</v>
      </c>
      <c r="B37" s="12"/>
      <c r="C37" s="11"/>
    </row>
    <row r="39" spans="1:1" x14ac:dyDescent="0.25">
      <c r="A39" s="3" t="s">
        <v>31</v>
      </c>
    </row>
    <row r="40" spans="1:3" x14ac:dyDescent="0.25">
      <c r="A40" s="6" t="s">
        <v>32</v>
      </c>
      <c r="B40" s="7">
        <v>23269.55725</v>
      </c>
      <c r="C40" s="4"/>
    </row>
    <row r="41" spans="1:3" x14ac:dyDescent="0.25">
      <c r="A41" s="22" t="s">
        <v>33</v>
      </c>
      <c r="B41" s="23"/>
      <c r="C41" s="22"/>
    </row>
    <row r="43" spans="1:1" x14ac:dyDescent="0.25">
      <c r="A43" t="s">
        <v>25</v>
      </c>
    </row>
    <row r="44" spans="1:3" x14ac:dyDescent="0.25">
      <c r="A44" s="18" t="s">
        <v>34</v>
      </c>
      <c r="B44" s="24">
        <v>3182.9649999999965</v>
      </c>
      <c r="C44" s="20"/>
    </row>
    <row r="46" spans="1:3" x14ac:dyDescent="0.25">
      <c r="A46" s="22" t="s">
        <v>35</v>
      </c>
      <c r="B46" s="23"/>
      <c r="C46" s="22"/>
    </row>
    <row r="47" spans="1:3" x14ac:dyDescent="0.25">
      <c r="A47" s="22" t="s">
        <v>36</v>
      </c>
      <c r="B47" s="23"/>
      <c r="C47" s="22"/>
    </row>
    <row r="48" spans="1:3" x14ac:dyDescent="0.25">
      <c r="A48" s="22" t="s">
        <v>37</v>
      </c>
      <c r="B48" s="23"/>
      <c r="C48" s="22"/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K33"/>
  <sheetFormatPr defaultRowHeight="15" outlineLevelRow="0" outlineLevelCol="0" x14ac:dyDescent="55"/>
  <cols>
    <col min="1" max="3" width="14" customWidth="1"/>
    <col min="4" max="4" width="10" customWidth="1"/>
    <col min="5" max="7" width="14" customWidth="1"/>
    <col min="8" max="9" width="12" customWidth="1"/>
    <col min="10" max="11" width="14" customWidth="1"/>
  </cols>
  <sheetData>
    <row r="1" spans="1:11" x14ac:dyDescent="0.25">
      <c r="A1" s="25" t="s">
        <v>38</v>
      </c>
      <c r="B1" s="25" t="s">
        <v>39</v>
      </c>
      <c r="C1" s="25" t="s">
        <v>40</v>
      </c>
      <c r="D1" s="25" t="s">
        <v>41</v>
      </c>
      <c r="E1" s="25" t="s">
        <v>42</v>
      </c>
      <c r="F1" s="25" t="s">
        <v>43</v>
      </c>
      <c r="G1" s="25" t="s">
        <v>44</v>
      </c>
      <c r="H1" s="25" t="s">
        <v>17</v>
      </c>
      <c r="I1" s="25" t="s">
        <v>18</v>
      </c>
      <c r="J1" s="25" t="s">
        <v>45</v>
      </c>
      <c r="K1" s="25" t="s">
        <v>46</v>
      </c>
    </row>
    <row r="2" spans="1:11" x14ac:dyDescent="0.25">
      <c r="A2" s="22" t="s">
        <v>47</v>
      </c>
      <c r="B2" s="22">
        <v>152</v>
      </c>
      <c r="C2" s="22">
        <v>69</v>
      </c>
      <c r="D2" s="22">
        <v>71</v>
      </c>
      <c r="E2" s="23">
        <v>1014</v>
      </c>
      <c r="F2" s="23">
        <v>1014</v>
      </c>
      <c r="G2" s="23">
        <v>1014</v>
      </c>
      <c r="H2" s="23">
        <v>760</v>
      </c>
      <c r="I2" s="23">
        <v>304</v>
      </c>
      <c r="J2" s="23">
        <v>4106</v>
      </c>
      <c r="K2" s="23">
        <v>1063.5008500000004</v>
      </c>
    </row>
    <row r="3" spans="1:11" x14ac:dyDescent="0.25">
      <c r="A3" s="11" t="s">
        <v>48</v>
      </c>
      <c r="B3" s="11">
        <v>249</v>
      </c>
      <c r="C3" s="11">
        <v>112</v>
      </c>
      <c r="D3" s="11">
        <v>146</v>
      </c>
      <c r="E3" s="12">
        <v>1745</v>
      </c>
      <c r="F3" s="12">
        <v>1745</v>
      </c>
      <c r="G3" s="12">
        <v>1745</v>
      </c>
      <c r="H3" s="12">
        <v>1245</v>
      </c>
      <c r="I3" s="12">
        <v>498</v>
      </c>
      <c r="J3" s="12">
        <v>6978</v>
      </c>
      <c r="K3" s="12">
        <v>1715.2183499999992</v>
      </c>
    </row>
    <row r="4" spans="1:11" x14ac:dyDescent="0.25">
      <c r="A4" s="22" t="s">
        <v>49</v>
      </c>
      <c r="B4" s="22">
        <v>268</v>
      </c>
      <c r="C4" s="22">
        <v>101</v>
      </c>
      <c r="D4" s="22">
        <v>141</v>
      </c>
      <c r="E4" s="23">
        <v>1732</v>
      </c>
      <c r="F4" s="23">
        <v>1732</v>
      </c>
      <c r="G4" s="23">
        <v>1732</v>
      </c>
      <c r="H4" s="23">
        <v>1340</v>
      </c>
      <c r="I4" s="23">
        <v>536</v>
      </c>
      <c r="J4" s="23">
        <v>7072</v>
      </c>
      <c r="K4" s="23">
        <v>1745.5848499999993</v>
      </c>
    </row>
    <row r="5" spans="1:11" x14ac:dyDescent="0.25">
      <c r="A5" s="11" t="s">
        <v>50</v>
      </c>
      <c r="B5" s="11">
        <v>244</v>
      </c>
      <c r="C5" s="11">
        <v>78</v>
      </c>
      <c r="D5" s="11">
        <v>136</v>
      </c>
      <c r="E5" s="12">
        <v>1530</v>
      </c>
      <c r="F5" s="12">
        <v>1530</v>
      </c>
      <c r="G5" s="12">
        <v>1530</v>
      </c>
      <c r="H5" s="12">
        <v>1220</v>
      </c>
      <c r="I5" s="12">
        <v>488</v>
      </c>
      <c r="J5" s="12">
        <v>6298</v>
      </c>
      <c r="K5" s="12">
        <v>1503.9250999999995</v>
      </c>
    </row>
    <row r="6" spans="1:11" x14ac:dyDescent="0.25">
      <c r="A6" s="22" t="s">
        <v>51</v>
      </c>
      <c r="B6" s="22">
        <v>240</v>
      </c>
      <c r="C6" s="22">
        <v>92</v>
      </c>
      <c r="D6" s="22">
        <v>125</v>
      </c>
      <c r="E6" s="23">
        <v>1555</v>
      </c>
      <c r="F6" s="23">
        <v>1555</v>
      </c>
      <c r="G6" s="23">
        <v>1555</v>
      </c>
      <c r="H6" s="23">
        <v>1200</v>
      </c>
      <c r="I6" s="23">
        <v>480</v>
      </c>
      <c r="J6" s="23">
        <v>6345</v>
      </c>
      <c r="K6" s="23">
        <v>1573.0004999999992</v>
      </c>
    </row>
    <row r="7" spans="1:11" x14ac:dyDescent="0.25">
      <c r="A7" s="11" t="s">
        <v>52</v>
      </c>
      <c r="B7" s="11">
        <v>221</v>
      </c>
      <c r="C7" s="11">
        <v>89</v>
      </c>
      <c r="D7" s="11">
        <v>108</v>
      </c>
      <c r="E7" s="12">
        <v>1432</v>
      </c>
      <c r="F7" s="12">
        <v>1432</v>
      </c>
      <c r="G7" s="12">
        <v>1432</v>
      </c>
      <c r="H7" s="12">
        <v>1105</v>
      </c>
      <c r="I7" s="12">
        <v>442</v>
      </c>
      <c r="J7" s="12">
        <v>5843</v>
      </c>
      <c r="K7" s="12">
        <v>1478.0412999999999</v>
      </c>
    </row>
    <row r="8" spans="1:11" x14ac:dyDescent="0.25">
      <c r="A8" s="22" t="s">
        <v>53</v>
      </c>
      <c r="B8" s="22">
        <v>186</v>
      </c>
      <c r="C8" s="22">
        <v>85</v>
      </c>
      <c r="D8" s="22">
        <v>120</v>
      </c>
      <c r="E8" s="23">
        <v>1343</v>
      </c>
      <c r="F8" s="23">
        <v>1343</v>
      </c>
      <c r="G8" s="23">
        <v>1343</v>
      </c>
      <c r="H8" s="23">
        <v>930</v>
      </c>
      <c r="I8" s="23">
        <v>372</v>
      </c>
      <c r="J8" s="23">
        <v>5331</v>
      </c>
      <c r="K8" s="23">
        <v>1281.1522499999992</v>
      </c>
    </row>
    <row r="9" spans="1:11" x14ac:dyDescent="0.25">
      <c r="A9" s="11" t="s">
        <v>54</v>
      </c>
      <c r="B9" s="11">
        <v>163</v>
      </c>
      <c r="C9" s="11">
        <v>77</v>
      </c>
      <c r="D9" s="11">
        <v>105</v>
      </c>
      <c r="E9" s="12">
        <v>1189</v>
      </c>
      <c r="F9" s="12">
        <v>1189</v>
      </c>
      <c r="G9" s="12">
        <v>1189</v>
      </c>
      <c r="H9" s="12">
        <v>815</v>
      </c>
      <c r="I9" s="12">
        <v>326</v>
      </c>
      <c r="J9" s="12">
        <v>4708</v>
      </c>
      <c r="K9" s="12">
        <v>1137.2254999999996</v>
      </c>
    </row>
    <row r="10" spans="1:11" x14ac:dyDescent="0.25">
      <c r="A10" s="22" t="s">
        <v>55</v>
      </c>
      <c r="B10" s="22">
        <v>190</v>
      </c>
      <c r="C10" s="22">
        <v>88</v>
      </c>
      <c r="D10" s="22">
        <v>120</v>
      </c>
      <c r="E10" s="23">
        <v>1370</v>
      </c>
      <c r="F10" s="23">
        <v>1370</v>
      </c>
      <c r="G10" s="23">
        <v>1370</v>
      </c>
      <c r="H10" s="23">
        <v>950</v>
      </c>
      <c r="I10" s="23">
        <v>380</v>
      </c>
      <c r="J10" s="23">
        <v>5440</v>
      </c>
      <c r="K10" s="23">
        <v>1317.2465000000002</v>
      </c>
    </row>
    <row r="11" spans="1:11" x14ac:dyDescent="0.25">
      <c r="A11" s="11" t="s">
        <v>56</v>
      </c>
      <c r="B11" s="11">
        <v>188</v>
      </c>
      <c r="C11" s="11">
        <v>77</v>
      </c>
      <c r="D11" s="11">
        <v>109</v>
      </c>
      <c r="E11" s="12">
        <v>1276</v>
      </c>
      <c r="F11" s="12">
        <v>1276</v>
      </c>
      <c r="G11" s="12">
        <v>1276</v>
      </c>
      <c r="H11" s="12">
        <v>940</v>
      </c>
      <c r="I11" s="12">
        <v>376</v>
      </c>
      <c r="J11" s="12">
        <v>5144</v>
      </c>
      <c r="K11" s="12">
        <v>1252.5836499999996</v>
      </c>
    </row>
    <row r="12" spans="1:11" x14ac:dyDescent="0.25">
      <c r="A12" s="22" t="s">
        <v>57</v>
      </c>
      <c r="B12" s="22">
        <v>177</v>
      </c>
      <c r="C12" s="22">
        <v>67</v>
      </c>
      <c r="D12" s="22">
        <v>113</v>
      </c>
      <c r="E12" s="23">
        <v>1205</v>
      </c>
      <c r="F12" s="23">
        <v>1205</v>
      </c>
      <c r="G12" s="23">
        <v>1205</v>
      </c>
      <c r="H12" s="23">
        <v>885</v>
      </c>
      <c r="I12" s="23">
        <v>354</v>
      </c>
      <c r="J12" s="23">
        <v>4854</v>
      </c>
      <c r="K12" s="23">
        <v>1140.4652999999998</v>
      </c>
    </row>
    <row r="13" spans="1:11" x14ac:dyDescent="0.25">
      <c r="A13" s="11" t="s">
        <v>58</v>
      </c>
      <c r="B13" s="11">
        <v>184</v>
      </c>
      <c r="C13" s="11">
        <v>74</v>
      </c>
      <c r="D13" s="11">
        <v>110</v>
      </c>
      <c r="E13" s="12">
        <v>1252</v>
      </c>
      <c r="F13" s="12">
        <v>1252</v>
      </c>
      <c r="G13" s="12">
        <v>1252</v>
      </c>
      <c r="H13" s="12">
        <v>920</v>
      </c>
      <c r="I13" s="12">
        <v>368</v>
      </c>
      <c r="J13" s="12">
        <v>5044</v>
      </c>
      <c r="K13" s="12">
        <v>1215.7804999999998</v>
      </c>
    </row>
    <row r="14" spans="1:11" x14ac:dyDescent="0.25">
      <c r="A14" s="22" t="s">
        <v>59</v>
      </c>
      <c r="B14" s="22">
        <v>153</v>
      </c>
      <c r="C14" s="22">
        <v>72</v>
      </c>
      <c r="D14" s="22">
        <v>97</v>
      </c>
      <c r="E14" s="23">
        <v>1110</v>
      </c>
      <c r="F14" s="23">
        <v>1110</v>
      </c>
      <c r="G14" s="23">
        <v>1110</v>
      </c>
      <c r="H14" s="23">
        <v>765</v>
      </c>
      <c r="I14" s="23">
        <v>306</v>
      </c>
      <c r="J14" s="23">
        <v>4401</v>
      </c>
      <c r="K14" s="23">
        <v>1066.98045</v>
      </c>
    </row>
    <row r="15" spans="1:11" x14ac:dyDescent="0.25">
      <c r="A15" s="11" t="s">
        <v>60</v>
      </c>
      <c r="B15" s="11">
        <v>140</v>
      </c>
      <c r="C15" s="11">
        <v>60</v>
      </c>
      <c r="D15" s="11">
        <v>81</v>
      </c>
      <c r="E15" s="12">
        <v>963</v>
      </c>
      <c r="F15" s="12">
        <v>963</v>
      </c>
      <c r="G15" s="12">
        <v>963</v>
      </c>
      <c r="H15" s="12">
        <v>700</v>
      </c>
      <c r="I15" s="12">
        <v>280</v>
      </c>
      <c r="J15" s="12">
        <v>3869</v>
      </c>
      <c r="K15" s="12">
        <v>948.1290999999992</v>
      </c>
    </row>
    <row r="16" spans="1:11" x14ac:dyDescent="0.25">
      <c r="A16" s="22" t="s">
        <v>61</v>
      </c>
      <c r="B16" s="22">
        <v>132</v>
      </c>
      <c r="C16" s="22">
        <v>65</v>
      </c>
      <c r="D16" s="22">
        <v>87</v>
      </c>
      <c r="E16" s="23">
        <v>982</v>
      </c>
      <c r="F16" s="23">
        <v>982</v>
      </c>
      <c r="G16" s="23">
        <v>982</v>
      </c>
      <c r="H16" s="23">
        <v>660</v>
      </c>
      <c r="I16" s="23">
        <v>264</v>
      </c>
      <c r="J16" s="23">
        <v>3870</v>
      </c>
      <c r="K16" s="23">
        <v>934.6924499999996</v>
      </c>
    </row>
    <row r="17" spans="1:11" x14ac:dyDescent="0.25">
      <c r="A17" s="11" t="s">
        <v>62</v>
      </c>
      <c r="B17" s="11">
        <v>137</v>
      </c>
      <c r="C17" s="11">
        <v>46</v>
      </c>
      <c r="D17" s="11">
        <v>69</v>
      </c>
      <c r="E17" s="12">
        <v>848</v>
      </c>
      <c r="F17" s="12">
        <v>848</v>
      </c>
      <c r="G17" s="12">
        <v>848</v>
      </c>
      <c r="H17" s="12">
        <v>685</v>
      </c>
      <c r="I17" s="12">
        <v>274</v>
      </c>
      <c r="J17" s="12">
        <v>3503</v>
      </c>
      <c r="K17" s="12">
        <v>862.26415</v>
      </c>
    </row>
    <row r="18" spans="1:11" x14ac:dyDescent="0.25">
      <c r="A18" s="22" t="s">
        <v>63</v>
      </c>
      <c r="B18" s="22">
        <v>132</v>
      </c>
      <c r="C18" s="22">
        <v>7</v>
      </c>
      <c r="D18" s="22">
        <v>38</v>
      </c>
      <c r="E18" s="23">
        <v>545</v>
      </c>
      <c r="F18" s="23">
        <v>545</v>
      </c>
      <c r="G18" s="23">
        <v>545</v>
      </c>
      <c r="H18" s="23">
        <v>660</v>
      </c>
      <c r="I18" s="23">
        <v>264</v>
      </c>
      <c r="J18" s="23">
        <v>2559</v>
      </c>
      <c r="K18" s="23">
        <v>637.2190500000002</v>
      </c>
    </row>
    <row r="19" spans="1:11" x14ac:dyDescent="0.25">
      <c r="A19" s="11" t="s">
        <v>64</v>
      </c>
      <c r="B19" s="11">
        <v>98</v>
      </c>
      <c r="C19" s="11">
        <v>0</v>
      </c>
      <c r="D19" s="11">
        <v>40</v>
      </c>
      <c r="E19" s="12">
        <v>414</v>
      </c>
      <c r="F19" s="12">
        <v>414</v>
      </c>
      <c r="G19" s="12">
        <v>414</v>
      </c>
      <c r="H19" s="12">
        <v>490</v>
      </c>
      <c r="I19" s="12">
        <v>196</v>
      </c>
      <c r="J19" s="12">
        <v>1928</v>
      </c>
      <c r="K19" s="12">
        <v>434.96349999999984</v>
      </c>
    </row>
    <row r="20" spans="1:11" x14ac:dyDescent="0.25">
      <c r="A20" s="22" t="s">
        <v>65</v>
      </c>
      <c r="B20" s="22">
        <v>106</v>
      </c>
      <c r="C20" s="22">
        <v>0</v>
      </c>
      <c r="D20" s="22">
        <v>36</v>
      </c>
      <c r="E20" s="23">
        <v>426</v>
      </c>
      <c r="F20" s="23">
        <v>426</v>
      </c>
      <c r="G20" s="23">
        <v>426</v>
      </c>
      <c r="H20" s="23">
        <v>530</v>
      </c>
      <c r="I20" s="23">
        <v>212</v>
      </c>
      <c r="J20" s="23">
        <v>2020</v>
      </c>
      <c r="K20" s="23">
        <v>475.62109999999984</v>
      </c>
    </row>
    <row r="21" spans="1:11" x14ac:dyDescent="0.25">
      <c r="A21" s="11" t="s">
        <v>66</v>
      </c>
      <c r="B21" s="11">
        <v>106</v>
      </c>
      <c r="C21" s="11">
        <v>0</v>
      </c>
      <c r="D21" s="11">
        <v>31</v>
      </c>
      <c r="E21" s="12">
        <v>411</v>
      </c>
      <c r="F21" s="12">
        <v>411</v>
      </c>
      <c r="G21" s="12">
        <v>411</v>
      </c>
      <c r="H21" s="12">
        <v>530</v>
      </c>
      <c r="I21" s="12">
        <v>212</v>
      </c>
      <c r="J21" s="12">
        <v>1975</v>
      </c>
      <c r="K21" s="12">
        <v>479.1655999999998</v>
      </c>
    </row>
    <row r="22" spans="1:11" x14ac:dyDescent="0.25">
      <c r="A22" s="22" t="s">
        <v>67</v>
      </c>
      <c r="B22" s="22">
        <v>63</v>
      </c>
      <c r="C22" s="22">
        <v>0</v>
      </c>
      <c r="D22" s="22">
        <v>24</v>
      </c>
      <c r="E22" s="23">
        <v>261</v>
      </c>
      <c r="F22" s="23">
        <v>261</v>
      </c>
      <c r="G22" s="23">
        <v>261</v>
      </c>
      <c r="H22" s="23">
        <v>315</v>
      </c>
      <c r="I22" s="23">
        <v>126</v>
      </c>
      <c r="J22" s="23">
        <v>1224</v>
      </c>
      <c r="K22" s="23">
        <v>280.83465</v>
      </c>
    </row>
    <row r="23" spans="1:11" x14ac:dyDescent="0.25">
      <c r="A23" s="11" t="s">
        <v>68</v>
      </c>
      <c r="B23" s="11">
        <v>40</v>
      </c>
      <c r="C23" s="11">
        <v>0</v>
      </c>
      <c r="D23" s="11">
        <v>17</v>
      </c>
      <c r="E23" s="12">
        <v>171</v>
      </c>
      <c r="F23" s="12">
        <v>171</v>
      </c>
      <c r="G23" s="12">
        <v>171</v>
      </c>
      <c r="H23" s="12">
        <v>200</v>
      </c>
      <c r="I23" s="12">
        <v>80</v>
      </c>
      <c r="J23" s="12">
        <v>793</v>
      </c>
      <c r="K23" s="12">
        <v>177.05869999999993</v>
      </c>
    </row>
    <row r="24" spans="1:11" x14ac:dyDescent="0.25">
      <c r="A24" s="22" t="s">
        <v>69</v>
      </c>
      <c r="B24" s="22">
        <v>37</v>
      </c>
      <c r="C24" s="22">
        <v>0</v>
      </c>
      <c r="D24" s="22">
        <v>15</v>
      </c>
      <c r="E24" s="23">
        <v>156</v>
      </c>
      <c r="F24" s="23">
        <v>156</v>
      </c>
      <c r="G24" s="23">
        <v>156</v>
      </c>
      <c r="H24" s="23">
        <v>185</v>
      </c>
      <c r="I24" s="23">
        <v>74</v>
      </c>
      <c r="J24" s="23">
        <v>727</v>
      </c>
      <c r="K24" s="23">
        <v>164.29324999999994</v>
      </c>
    </row>
    <row r="25" spans="1:11" x14ac:dyDescent="0.25">
      <c r="A25" s="11" t="s">
        <v>70</v>
      </c>
      <c r="B25" s="11">
        <v>31</v>
      </c>
      <c r="C25" s="11">
        <v>0</v>
      </c>
      <c r="D25" s="11">
        <v>12</v>
      </c>
      <c r="E25" s="12">
        <v>129</v>
      </c>
      <c r="F25" s="12">
        <v>129</v>
      </c>
      <c r="G25" s="12">
        <v>129</v>
      </c>
      <c r="H25" s="12">
        <v>155</v>
      </c>
      <c r="I25" s="12">
        <v>62</v>
      </c>
      <c r="J25" s="12">
        <v>604</v>
      </c>
      <c r="K25" s="12">
        <v>138.05345</v>
      </c>
    </row>
    <row r="26" spans="1:11" x14ac:dyDescent="0.25">
      <c r="A26" s="22" t="s">
        <v>71</v>
      </c>
      <c r="B26" s="22">
        <v>13</v>
      </c>
      <c r="C26" s="22">
        <v>0</v>
      </c>
      <c r="D26" s="22">
        <v>0</v>
      </c>
      <c r="E26" s="23">
        <v>39</v>
      </c>
      <c r="F26" s="23">
        <v>39</v>
      </c>
      <c r="G26" s="23">
        <v>39</v>
      </c>
      <c r="H26" s="23">
        <v>65</v>
      </c>
      <c r="I26" s="23">
        <v>26</v>
      </c>
      <c r="J26" s="23">
        <v>208</v>
      </c>
      <c r="K26" s="23">
        <v>61.46074999999996</v>
      </c>
    </row>
    <row r="27" spans="1:11" x14ac:dyDescent="0.25">
      <c r="A27" s="11" t="s">
        <v>72</v>
      </c>
      <c r="B27" s="11">
        <v>8</v>
      </c>
      <c r="C27" s="11">
        <v>0</v>
      </c>
      <c r="D27" s="11">
        <v>7</v>
      </c>
      <c r="E27" s="12">
        <v>45</v>
      </c>
      <c r="F27" s="12">
        <v>45</v>
      </c>
      <c r="G27" s="12">
        <v>45</v>
      </c>
      <c r="H27" s="12">
        <v>40</v>
      </c>
      <c r="I27" s="12">
        <v>16</v>
      </c>
      <c r="J27" s="12">
        <v>191</v>
      </c>
      <c r="K27" s="12">
        <v>32.859700000000004</v>
      </c>
    </row>
    <row r="28" spans="1:11" x14ac:dyDescent="0.25">
      <c r="A28" s="22" t="s">
        <v>73</v>
      </c>
      <c r="B28" s="22">
        <v>11</v>
      </c>
      <c r="C28" s="22">
        <v>0</v>
      </c>
      <c r="D28" s="22">
        <v>2</v>
      </c>
      <c r="E28" s="23">
        <v>39</v>
      </c>
      <c r="F28" s="23">
        <v>39</v>
      </c>
      <c r="G28" s="23">
        <v>39</v>
      </c>
      <c r="H28" s="23">
        <v>55</v>
      </c>
      <c r="I28" s="23">
        <v>22</v>
      </c>
      <c r="J28" s="23">
        <v>194</v>
      </c>
      <c r="K28" s="23">
        <v>50.58744999999999</v>
      </c>
    </row>
    <row r="29" spans="1:11" x14ac:dyDescent="0.25">
      <c r="A29" s="11" t="s">
        <v>74</v>
      </c>
      <c r="B29" s="11">
        <v>4</v>
      </c>
      <c r="C29" s="11">
        <v>0</v>
      </c>
      <c r="D29" s="11">
        <v>1</v>
      </c>
      <c r="E29" s="12">
        <v>15</v>
      </c>
      <c r="F29" s="12">
        <v>15</v>
      </c>
      <c r="G29" s="12">
        <v>15</v>
      </c>
      <c r="H29" s="12">
        <v>20</v>
      </c>
      <c r="I29" s="12">
        <v>8</v>
      </c>
      <c r="J29" s="12">
        <v>73</v>
      </c>
      <c r="K29" s="12">
        <v>18.2021</v>
      </c>
    </row>
    <row r="30" spans="1:11" x14ac:dyDescent="0.25">
      <c r="A30" s="22" t="s">
        <v>75</v>
      </c>
      <c r="B30" s="22">
        <v>7</v>
      </c>
      <c r="C30" s="22">
        <v>0</v>
      </c>
      <c r="D30" s="22">
        <v>5</v>
      </c>
      <c r="E30" s="23">
        <v>36</v>
      </c>
      <c r="F30" s="23">
        <v>36</v>
      </c>
      <c r="G30" s="23">
        <v>36</v>
      </c>
      <c r="H30" s="23">
        <v>35</v>
      </c>
      <c r="I30" s="23">
        <v>14</v>
      </c>
      <c r="J30" s="23">
        <v>157</v>
      </c>
      <c r="K30" s="23">
        <v>29.54974999999999</v>
      </c>
    </row>
    <row r="31" spans="1:11" x14ac:dyDescent="0.25">
      <c r="A31" s="11" t="s">
        <v>76</v>
      </c>
      <c r="B31" s="11">
        <v>8</v>
      </c>
      <c r="C31" s="11">
        <v>0</v>
      </c>
      <c r="D31" s="11">
        <v>4</v>
      </c>
      <c r="E31" s="12">
        <v>36</v>
      </c>
      <c r="F31" s="12">
        <v>36</v>
      </c>
      <c r="G31" s="12">
        <v>36</v>
      </c>
      <c r="H31" s="12">
        <v>40</v>
      </c>
      <c r="I31" s="12">
        <v>16</v>
      </c>
      <c r="J31" s="12">
        <v>164</v>
      </c>
      <c r="K31" s="12">
        <v>34.9864</v>
      </c>
    </row>
    <row r="32" spans="1:11" x14ac:dyDescent="0.25">
      <c r="A32" s="22" t="s">
        <v>77</v>
      </c>
      <c r="B32" s="22">
        <v>4</v>
      </c>
      <c r="C32" s="22">
        <v>0</v>
      </c>
      <c r="D32" s="22">
        <v>0</v>
      </c>
      <c r="E32" s="23">
        <v>12</v>
      </c>
      <c r="F32" s="23">
        <v>12</v>
      </c>
      <c r="G32" s="23">
        <v>12</v>
      </c>
      <c r="H32" s="23">
        <v>20</v>
      </c>
      <c r="I32" s="23">
        <v>8</v>
      </c>
      <c r="J32" s="23">
        <v>64</v>
      </c>
      <c r="K32" s="23">
        <v>18.911</v>
      </c>
    </row>
    <row r="33" spans="1:11" x14ac:dyDescent="0.25">
      <c r="A33" s="26" t="s">
        <v>78</v>
      </c>
      <c r="B33" s="27">
        <f>SUM(B2:B32)</f>
      </c>
      <c r="C33" s="27">
        <f>SUM(C2:C32)</f>
      </c>
      <c r="D33" s="27">
        <f>SUM(D2:D32)</f>
      </c>
      <c r="E33" s="28">
        <f>SUM(E2:E32)</f>
      </c>
      <c r="F33" s="28">
        <f>SUM(F2:F32)</f>
      </c>
      <c r="G33" s="28">
        <f>SUM(G2:G32)</f>
      </c>
      <c r="H33" s="28">
        <f>SUM(H2:H32)</f>
      </c>
      <c r="I33" s="28">
        <f>SUM(I2:I32)</f>
      </c>
      <c r="J33" s="28">
        <f>SUM(J2:J32)</f>
      </c>
      <c r="K33" s="28">
        <f>SUM(K2:K32)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7E22"/>
  </sheetPr>
  <dimension ref="A1:J16"/>
  <sheetFormatPr defaultRowHeight="15" outlineLevelRow="0" outlineLevelCol="0" x14ac:dyDescent="55"/>
  <cols>
    <col min="1" max="1" width="30" customWidth="1"/>
    <col min="2" max="2" width="12" customWidth="1"/>
    <col min="3" max="4" width="8" customWidth="1"/>
    <col min="5" max="7" width="12" customWidth="1"/>
    <col min="8" max="10" width="14" customWidth="1"/>
  </cols>
  <sheetData>
    <row r="1" spans="1:10" x14ac:dyDescent="0.25">
      <c r="A1" s="25" t="s">
        <v>79</v>
      </c>
      <c r="B1" s="25" t="s">
        <v>80</v>
      </c>
      <c r="C1" s="25" t="s">
        <v>81</v>
      </c>
      <c r="D1" s="25" t="s">
        <v>41</v>
      </c>
      <c r="E1" s="25" t="s">
        <v>82</v>
      </c>
      <c r="F1" s="25" t="s">
        <v>83</v>
      </c>
      <c r="G1" s="25" t="s">
        <v>84</v>
      </c>
      <c r="H1" s="25" t="s">
        <v>85</v>
      </c>
      <c r="I1" s="25" t="s">
        <v>86</v>
      </c>
      <c r="J1" s="25" t="s">
        <v>87</v>
      </c>
    </row>
    <row r="2" spans="1:10" x14ac:dyDescent="0.25">
      <c r="A2" s="22" t="s">
        <v>88</v>
      </c>
      <c r="B2" s="22" t="s">
        <v>89</v>
      </c>
      <c r="C2" s="22">
        <v>1813</v>
      </c>
      <c r="D2" s="22">
        <v>621</v>
      </c>
      <c r="E2" s="23">
        <v>3</v>
      </c>
      <c r="F2" s="23">
        <v>5</v>
      </c>
      <c r="G2" s="23">
        <v>2</v>
      </c>
      <c r="H2" s="23">
        <v>4.72775</v>
      </c>
      <c r="I2" s="23">
        <v>34597</v>
      </c>
      <c r="J2" s="29">
        <v>8131.183850000001</v>
      </c>
    </row>
    <row r="3" spans="1:10" x14ac:dyDescent="0.25">
      <c r="A3" s="11" t="s">
        <v>90</v>
      </c>
      <c r="B3" s="11" t="s">
        <v>89</v>
      </c>
      <c r="C3" s="11">
        <v>435</v>
      </c>
      <c r="D3" s="11">
        <v>208</v>
      </c>
      <c r="E3" s="12">
        <v>3</v>
      </c>
      <c r="F3" s="12">
        <v>5</v>
      </c>
      <c r="G3" s="12">
        <v>2</v>
      </c>
      <c r="H3" s="12">
        <v>4.72775</v>
      </c>
      <c r="I3" s="12">
        <v>8832</v>
      </c>
      <c r="J3" s="30">
        <v>1909.12005</v>
      </c>
    </row>
    <row r="4" spans="1:10" x14ac:dyDescent="0.25">
      <c r="A4" s="22" t="s">
        <v>91</v>
      </c>
      <c r="B4" s="22" t="s">
        <v>89</v>
      </c>
      <c r="C4" s="22">
        <v>1099</v>
      </c>
      <c r="D4" s="22">
        <v>416</v>
      </c>
      <c r="E4" s="23">
        <v>3</v>
      </c>
      <c r="F4" s="23">
        <v>5</v>
      </c>
      <c r="G4" s="23">
        <v>2</v>
      </c>
      <c r="H4" s="23">
        <v>4.72775</v>
      </c>
      <c r="I4" s="23">
        <v>21328</v>
      </c>
      <c r="J4" s="29">
        <v>4900.894850000001</v>
      </c>
    </row>
    <row r="5" spans="1:10" x14ac:dyDescent="0.25">
      <c r="A5" s="11" t="s">
        <v>92</v>
      </c>
      <c r="B5" s="11" t="s">
        <v>89</v>
      </c>
      <c r="C5" s="11">
        <v>67</v>
      </c>
      <c r="D5" s="11">
        <v>9</v>
      </c>
      <c r="E5" s="12">
        <v>3</v>
      </c>
      <c r="F5" s="12">
        <v>5</v>
      </c>
      <c r="G5" s="12">
        <v>2</v>
      </c>
      <c r="H5" s="12">
        <v>4.72775</v>
      </c>
      <c r="I5" s="12">
        <v>1153</v>
      </c>
      <c r="J5" s="30">
        <v>310.37915</v>
      </c>
    </row>
    <row r="6" spans="1:10" x14ac:dyDescent="0.25">
      <c r="A6" s="22" t="s">
        <v>93</v>
      </c>
      <c r="B6" s="22" t="s">
        <v>94</v>
      </c>
      <c r="C6" s="22">
        <v>1033</v>
      </c>
      <c r="D6" s="22">
        <v>493</v>
      </c>
      <c r="E6" s="23">
        <v>5</v>
      </c>
      <c r="F6" s="23">
        <v>0</v>
      </c>
      <c r="G6" s="23">
        <v>0</v>
      </c>
      <c r="H6" s="23">
        <v>5.72775</v>
      </c>
      <c r="I6" s="23">
        <v>19932</v>
      </c>
      <c r="J6" s="29">
        <v>5567.278050000001</v>
      </c>
    </row>
    <row r="7" spans="1:10" x14ac:dyDescent="0.25">
      <c r="A7" s="11" t="s">
        <v>95</v>
      </c>
      <c r="B7" s="11" t="s">
        <v>94</v>
      </c>
      <c r="C7" s="11">
        <v>226</v>
      </c>
      <c r="D7" s="11">
        <v>118</v>
      </c>
      <c r="E7" s="12">
        <v>5</v>
      </c>
      <c r="F7" s="12">
        <v>0</v>
      </c>
      <c r="G7" s="12">
        <v>0</v>
      </c>
      <c r="H7" s="12">
        <v>5.72775</v>
      </c>
      <c r="I7" s="12">
        <v>4452</v>
      </c>
      <c r="J7" s="30">
        <v>1210.8213</v>
      </c>
    </row>
    <row r="8" spans="1:10" x14ac:dyDescent="0.25">
      <c r="A8" s="22" t="s">
        <v>96</v>
      </c>
      <c r="B8" s="22" t="s">
        <v>89</v>
      </c>
      <c r="C8" s="22">
        <v>277</v>
      </c>
      <c r="D8" s="22">
        <v>105</v>
      </c>
      <c r="E8" s="23">
        <v>3</v>
      </c>
      <c r="F8" s="23">
        <v>5</v>
      </c>
      <c r="G8" s="23">
        <v>2</v>
      </c>
      <c r="H8" s="23">
        <v>4.72775</v>
      </c>
      <c r="I8" s="23">
        <v>5377</v>
      </c>
      <c r="J8" s="29">
        <v>1235.15225</v>
      </c>
    </row>
    <row r="9" spans="1:10" x14ac:dyDescent="0.25">
      <c r="A9" s="11" t="s">
        <v>97</v>
      </c>
      <c r="B9" s="11" t="s">
        <v>89</v>
      </c>
      <c r="C9" s="11">
        <v>1</v>
      </c>
      <c r="D9" s="11">
        <v>0</v>
      </c>
      <c r="E9" s="12">
        <v>3</v>
      </c>
      <c r="F9" s="12">
        <v>5</v>
      </c>
      <c r="G9" s="12">
        <v>2</v>
      </c>
      <c r="H9" s="12">
        <v>4.72775</v>
      </c>
      <c r="I9" s="12">
        <v>16</v>
      </c>
      <c r="J9" s="30">
        <v>4.72775</v>
      </c>
    </row>
    <row r="10" spans="1:10" x14ac:dyDescent="0.25">
      <c r="A10" s="26" t="s">
        <v>78</v>
      </c>
      <c r="B10" s="20"/>
      <c r="C10" s="27">
        <f>SUM(C2:C9)</f>
      </c>
      <c r="D10" s="27">
        <f>SUM(D2:D9)</f>
      </c>
      <c r="E10" s="20"/>
      <c r="F10" s="20"/>
      <c r="G10" s="20"/>
      <c r="H10" s="20"/>
      <c r="I10" s="28">
        <f>SUM(I2:I9)</f>
      </c>
      <c r="J10" s="28">
        <f>SUM(J2:J9)</f>
      </c>
    </row>
    <row r="12" spans="1:1" x14ac:dyDescent="0.25">
      <c r="A12" s="31" t="s">
        <v>98</v>
      </c>
    </row>
    <row r="13" spans="1:1" x14ac:dyDescent="0.25">
      <c r="A13" t="s">
        <v>99</v>
      </c>
    </row>
    <row r="14" spans="1:1" x14ac:dyDescent="0.25">
      <c r="A14" t="s">
        <v>100</v>
      </c>
    </row>
    <row r="15" spans="1:1" x14ac:dyDescent="0.25">
      <c r="A15" t="s">
        <v>101</v>
      </c>
    </row>
    <row r="16" spans="1:1" x14ac:dyDescent="0.25">
      <c r="A16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392B"/>
  </sheetPr>
  <dimension ref="A1:D53"/>
  <sheetFormatPr defaultRowHeight="15" outlineLevelRow="0" outlineLevelCol="0" x14ac:dyDescent="55"/>
  <cols>
    <col min="1" max="1" width="14" customWidth="1"/>
    <col min="2" max="2" width="22" customWidth="1"/>
    <col min="3" max="3" width="16" customWidth="1"/>
    <col min="4" max="4" width="40" customWidth="1"/>
  </cols>
  <sheetData>
    <row r="1" spans="1:4" x14ac:dyDescent="0.25">
      <c r="A1" s="25" t="s">
        <v>38</v>
      </c>
      <c r="B1" s="25" t="s">
        <v>80</v>
      </c>
      <c r="C1" s="25" t="s">
        <v>103</v>
      </c>
      <c r="D1" s="25" t="s">
        <v>104</v>
      </c>
    </row>
    <row r="2" spans="1:4" x14ac:dyDescent="0.25">
      <c r="A2" s="32" t="s">
        <v>51</v>
      </c>
      <c r="B2" s="16" t="s">
        <v>105</v>
      </c>
      <c r="C2" s="17">
        <v>5000</v>
      </c>
      <c r="D2" s="16" t="s">
        <v>106</v>
      </c>
    </row>
    <row r="3" spans="1:4" x14ac:dyDescent="0.25">
      <c r="A3" s="32" t="s">
        <v>50</v>
      </c>
      <c r="B3" s="16" t="s">
        <v>107</v>
      </c>
      <c r="C3" s="17">
        <v>1500</v>
      </c>
      <c r="D3" s="16" t="s">
        <v>108</v>
      </c>
    </row>
    <row r="4" spans="1:4" x14ac:dyDescent="0.25">
      <c r="A4" s="22" t="s">
        <v>35</v>
      </c>
      <c r="B4" s="22" t="s">
        <v>35</v>
      </c>
      <c r="C4" s="23"/>
      <c r="D4" s="22" t="s">
        <v>35</v>
      </c>
    </row>
    <row r="5" spans="1:4" x14ac:dyDescent="0.25">
      <c r="A5" s="22"/>
      <c r="B5" s="22"/>
      <c r="C5" s="23"/>
      <c r="D5" s="22"/>
    </row>
    <row r="6" spans="1:4" x14ac:dyDescent="0.25">
      <c r="A6" s="22"/>
      <c r="B6" s="22"/>
      <c r="C6" s="23"/>
      <c r="D6" s="22"/>
    </row>
    <row r="7" spans="1:4" x14ac:dyDescent="0.25">
      <c r="A7" s="22"/>
      <c r="B7" s="22"/>
      <c r="C7" s="23"/>
      <c r="D7" s="22"/>
    </row>
    <row r="8" spans="1:4" x14ac:dyDescent="0.25">
      <c r="A8" s="22"/>
      <c r="B8" s="22"/>
      <c r="C8" s="23"/>
      <c r="D8" s="22"/>
    </row>
    <row r="9" spans="1:4" x14ac:dyDescent="0.25">
      <c r="A9" s="22"/>
      <c r="B9" s="22"/>
      <c r="C9" s="23"/>
      <c r="D9" s="22"/>
    </row>
    <row r="10" spans="1:4" x14ac:dyDescent="0.25">
      <c r="A10" s="22"/>
      <c r="B10" s="22"/>
      <c r="C10" s="23"/>
      <c r="D10" s="22"/>
    </row>
    <row r="11" spans="1:4" x14ac:dyDescent="0.25">
      <c r="A11" s="22"/>
      <c r="B11" s="22"/>
      <c r="C11" s="23"/>
      <c r="D11" s="22"/>
    </row>
    <row r="12" spans="1:4" x14ac:dyDescent="0.25">
      <c r="A12" s="22"/>
      <c r="B12" s="22"/>
      <c r="C12" s="23"/>
      <c r="D12" s="22"/>
    </row>
    <row r="13" spans="1:4" x14ac:dyDescent="0.25">
      <c r="A13" s="22"/>
      <c r="B13" s="22"/>
      <c r="C13" s="23"/>
      <c r="D13" s="22"/>
    </row>
    <row r="14" spans="1:4" x14ac:dyDescent="0.25">
      <c r="A14" s="22"/>
      <c r="B14" s="22"/>
      <c r="C14" s="23"/>
      <c r="D14" s="22"/>
    </row>
    <row r="15" spans="1:4" x14ac:dyDescent="0.25">
      <c r="A15" s="22"/>
      <c r="B15" s="22"/>
      <c r="C15" s="23"/>
      <c r="D15" s="22"/>
    </row>
    <row r="16" spans="1:4" x14ac:dyDescent="0.25">
      <c r="A16" s="22"/>
      <c r="B16" s="22"/>
      <c r="C16" s="23"/>
      <c r="D16" s="22"/>
    </row>
    <row r="17" spans="1:4" x14ac:dyDescent="0.25">
      <c r="A17" s="22"/>
      <c r="B17" s="22"/>
      <c r="C17" s="23"/>
      <c r="D17" s="22"/>
    </row>
    <row r="18" spans="1:4" x14ac:dyDescent="0.25">
      <c r="A18" s="22"/>
      <c r="B18" s="22"/>
      <c r="C18" s="23"/>
      <c r="D18" s="22"/>
    </row>
    <row r="19" spans="1:4" x14ac:dyDescent="0.25">
      <c r="A19" s="22"/>
      <c r="B19" s="22"/>
      <c r="C19" s="23"/>
      <c r="D19" s="22"/>
    </row>
    <row r="20" spans="1:4" x14ac:dyDescent="0.25">
      <c r="A20" s="22"/>
      <c r="B20" s="22"/>
      <c r="C20" s="23"/>
      <c r="D20" s="22"/>
    </row>
    <row r="21" spans="1:4" x14ac:dyDescent="0.25">
      <c r="A21" s="22"/>
      <c r="B21" s="22"/>
      <c r="C21" s="23"/>
      <c r="D21" s="22"/>
    </row>
    <row r="22" spans="1:4" x14ac:dyDescent="0.25">
      <c r="A22" s="22"/>
      <c r="B22" s="22"/>
      <c r="C22" s="23"/>
      <c r="D22" s="22"/>
    </row>
    <row r="23" spans="1:4" x14ac:dyDescent="0.25">
      <c r="A23" s="22"/>
      <c r="B23" s="22"/>
      <c r="C23" s="23"/>
      <c r="D23" s="22"/>
    </row>
    <row r="24" spans="1:4" x14ac:dyDescent="0.25">
      <c r="A24" s="22"/>
      <c r="B24" s="22"/>
      <c r="C24" s="23"/>
      <c r="D24" s="22"/>
    </row>
    <row r="25" spans="1:4" x14ac:dyDescent="0.25">
      <c r="A25" s="22"/>
      <c r="B25" s="22"/>
      <c r="C25" s="23"/>
      <c r="D25" s="22"/>
    </row>
    <row r="26" spans="1:4" x14ac:dyDescent="0.25">
      <c r="A26" s="22"/>
      <c r="B26" s="22"/>
      <c r="C26" s="23"/>
      <c r="D26" s="22"/>
    </row>
    <row r="27" spans="1:4" x14ac:dyDescent="0.25">
      <c r="A27" s="22"/>
      <c r="B27" s="22"/>
      <c r="C27" s="23"/>
      <c r="D27" s="22"/>
    </row>
    <row r="28" spans="1:4" x14ac:dyDescent="0.25">
      <c r="A28" s="22"/>
      <c r="B28" s="22"/>
      <c r="C28" s="23"/>
      <c r="D28" s="22"/>
    </row>
    <row r="29" spans="1:4" x14ac:dyDescent="0.25">
      <c r="A29" s="22"/>
      <c r="B29" s="22"/>
      <c r="C29" s="23"/>
      <c r="D29" s="22"/>
    </row>
    <row r="30" spans="1:4" x14ac:dyDescent="0.25">
      <c r="A30" s="22"/>
      <c r="B30" s="22"/>
      <c r="C30" s="23"/>
      <c r="D30" s="22"/>
    </row>
    <row r="31" spans="1:4" x14ac:dyDescent="0.25">
      <c r="A31" s="22"/>
      <c r="B31" s="22"/>
      <c r="C31" s="23"/>
      <c r="D31" s="22"/>
    </row>
    <row r="32" spans="1:4" x14ac:dyDescent="0.25">
      <c r="A32" s="22"/>
      <c r="B32" s="22"/>
      <c r="C32" s="23"/>
      <c r="D32" s="22"/>
    </row>
    <row r="33" spans="1:4" x14ac:dyDescent="0.25">
      <c r="A33" s="22"/>
      <c r="B33" s="22"/>
      <c r="C33" s="23"/>
      <c r="D33" s="22"/>
    </row>
    <row r="34" spans="1:4" x14ac:dyDescent="0.25">
      <c r="A34" s="22"/>
      <c r="B34" s="22"/>
      <c r="C34" s="23"/>
      <c r="D34" s="22"/>
    </row>
    <row r="35" spans="1:4" x14ac:dyDescent="0.25">
      <c r="A35" s="22"/>
      <c r="B35" s="22"/>
      <c r="C35" s="23"/>
      <c r="D35" s="22"/>
    </row>
    <row r="36" spans="1:4" x14ac:dyDescent="0.25">
      <c r="A36" s="22"/>
      <c r="B36" s="22"/>
      <c r="C36" s="23"/>
      <c r="D36" s="22"/>
    </row>
    <row r="37" spans="1:4" x14ac:dyDescent="0.25">
      <c r="A37" s="22"/>
      <c r="B37" s="22"/>
      <c r="C37" s="23"/>
      <c r="D37" s="22"/>
    </row>
    <row r="38" spans="1:4" x14ac:dyDescent="0.25">
      <c r="A38" s="22"/>
      <c r="B38" s="22"/>
      <c r="C38" s="23"/>
      <c r="D38" s="22"/>
    </row>
    <row r="39" spans="1:4" x14ac:dyDescent="0.25">
      <c r="A39" s="22"/>
      <c r="B39" s="22"/>
      <c r="C39" s="23"/>
      <c r="D39" s="22"/>
    </row>
    <row r="40" spans="1:4" x14ac:dyDescent="0.25">
      <c r="A40" s="22"/>
      <c r="B40" s="22"/>
      <c r="C40" s="23"/>
      <c r="D40" s="22"/>
    </row>
    <row r="41" spans="1:4" x14ac:dyDescent="0.25">
      <c r="A41" s="22"/>
      <c r="B41" s="22"/>
      <c r="C41" s="23"/>
      <c r="D41" s="22"/>
    </row>
    <row r="42" spans="1:4" x14ac:dyDescent="0.25">
      <c r="A42" s="22"/>
      <c r="B42" s="22"/>
      <c r="C42" s="23"/>
      <c r="D42" s="22"/>
    </row>
    <row r="43" spans="1:4" x14ac:dyDescent="0.25">
      <c r="A43" s="22"/>
      <c r="B43" s="22"/>
      <c r="C43" s="23"/>
      <c r="D43" s="22"/>
    </row>
    <row r="44" spans="1:4" x14ac:dyDescent="0.25">
      <c r="A44" s="22"/>
      <c r="B44" s="22"/>
      <c r="C44" s="23"/>
      <c r="D44" s="22"/>
    </row>
    <row r="45" spans="1:4" x14ac:dyDescent="0.25">
      <c r="A45" s="22"/>
      <c r="B45" s="22"/>
      <c r="C45" s="23"/>
      <c r="D45" s="22"/>
    </row>
    <row r="46" spans="1:4" x14ac:dyDescent="0.25">
      <c r="A46" s="22"/>
      <c r="B46" s="22"/>
      <c r="C46" s="23"/>
      <c r="D46" s="22"/>
    </row>
    <row r="47" spans="1:4" x14ac:dyDescent="0.25">
      <c r="A47" s="22"/>
      <c r="B47" s="22"/>
      <c r="C47" s="23"/>
      <c r="D47" s="22"/>
    </row>
    <row r="48" spans="1:4" x14ac:dyDescent="0.25">
      <c r="A48" s="22"/>
      <c r="B48" s="22"/>
      <c r="C48" s="23"/>
      <c r="D48" s="22"/>
    </row>
    <row r="49" spans="1:4" x14ac:dyDescent="0.25">
      <c r="A49" s="22"/>
      <c r="B49" s="22"/>
      <c r="C49" s="23"/>
      <c r="D49" s="22"/>
    </row>
    <row r="50" spans="1:4" x14ac:dyDescent="0.25">
      <c r="A50" s="22"/>
      <c r="B50" s="22"/>
      <c r="C50" s="23"/>
      <c r="D50" s="22"/>
    </row>
    <row r="51" spans="1:4" x14ac:dyDescent="0.25">
      <c r="A51" s="22"/>
      <c r="B51" s="22"/>
      <c r="C51" s="23"/>
      <c r="D51" s="22"/>
    </row>
    <row r="52" spans="1:4" x14ac:dyDescent="0.25">
      <c r="A52" s="22"/>
      <c r="B52" s="22"/>
      <c r="C52" s="23"/>
      <c r="D52" s="22"/>
    </row>
    <row r="53" spans="1:4" x14ac:dyDescent="0.25">
      <c r="A53" s="26" t="s">
        <v>78</v>
      </c>
      <c r="B53" s="20"/>
      <c r="C53" s="28">
        <f>SUM(C2:C52)</f>
      </c>
      <c r="D53" s="2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I4"/>
  <sheetFormatPr defaultRowHeight="15" outlineLevelRow="0" outlineLevelCol="0" x14ac:dyDescent="55"/>
  <cols>
    <col min="1" max="1" width="14" customWidth="1"/>
    <col min="2" max="2" width="16" customWidth="1"/>
    <col min="3" max="3" width="14" customWidth="1"/>
    <col min="4" max="5" width="10" customWidth="1"/>
    <col min="6" max="8" width="16" customWidth="1"/>
    <col min="9" max="9" width="14" customWidth="1"/>
  </cols>
  <sheetData>
    <row r="1" spans="1:9" x14ac:dyDescent="0.25">
      <c r="A1" s="25" t="s">
        <v>109</v>
      </c>
      <c r="B1" s="25" t="s">
        <v>110</v>
      </c>
      <c r="C1" s="25" t="s">
        <v>111</v>
      </c>
      <c r="D1" s="25" t="s">
        <v>81</v>
      </c>
      <c r="E1" s="25" t="s">
        <v>41</v>
      </c>
      <c r="F1" s="25" t="s">
        <v>112</v>
      </c>
      <c r="G1" s="25" t="s">
        <v>113</v>
      </c>
      <c r="H1" s="25" t="s">
        <v>114</v>
      </c>
      <c r="I1" s="25" t="s">
        <v>115</v>
      </c>
    </row>
    <row r="2" spans="1:9" x14ac:dyDescent="0.25">
      <c r="A2" s="22" t="s">
        <v>116</v>
      </c>
      <c r="B2" s="23">
        <v>51200</v>
      </c>
      <c r="C2" s="23">
        <v>2655</v>
      </c>
      <c r="D2" s="22">
        <v>1606</v>
      </c>
      <c r="E2" s="22">
        <v>619</v>
      </c>
      <c r="F2" s="23">
        <v>44260</v>
      </c>
      <c r="G2" s="23">
        <v>1860</v>
      </c>
      <c r="H2" s="23">
        <v>42450.432</v>
      </c>
      <c r="I2" s="23">
        <v>6675</v>
      </c>
    </row>
    <row r="3" spans="1:9" x14ac:dyDescent="0.25">
      <c r="A3" s="11" t="s">
        <v>117</v>
      </c>
      <c r="B3" s="12">
        <v>110369</v>
      </c>
      <c r="C3" s="12">
        <v>21751</v>
      </c>
      <c r="D3" s="11">
        <v>3346</v>
      </c>
      <c r="E3" s="11">
        <v>1351</v>
      </c>
      <c r="F3" s="12">
        <v>81770</v>
      </c>
      <c r="G3" s="12">
        <v>14925</v>
      </c>
      <c r="H3" s="12">
        <v>91508.04159</v>
      </c>
      <c r="I3" s="12">
        <v>14091</v>
      </c>
    </row>
    <row r="4" spans="1:9" x14ac:dyDescent="0.25">
      <c r="A4" s="26" t="s">
        <v>78</v>
      </c>
      <c r="B4" s="28">
        <f>SUM(B2:B3)</f>
      </c>
      <c r="C4" s="28">
        <f>SUM(C2:C3)</f>
      </c>
      <c r="D4" s="26">
        <f>SUM(D2:D3)</f>
      </c>
      <c r="E4" s="26">
        <f>SUM(E2:E3)</f>
      </c>
      <c r="F4" s="28">
        <f>SUM(F2:F3)</f>
      </c>
      <c r="G4" s="28">
        <f>SUM(G2:G3)</f>
      </c>
      <c r="H4" s="28">
        <f>SUM(H2:H3)</f>
      </c>
      <c r="I4" s="28">
        <f>SUM(I2:I3)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Касса</vt:lpstr>
      <vt:lpstr>ЗП по дням</vt:lpstr>
      <vt:lpstr>По паркам</vt:lpstr>
      <vt:lpstr>Расходы</vt:lpstr>
      <vt:lpstr>Помесячно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TaxiSite Report</dc:creator>
  <dc:title/>
  <dc:subject/>
  <dc:description/>
  <cp:keywords/>
  <cp:category/>
  <cp:lastModifiedBy>Unknown</cp:lastModifiedBy>
  <dcterms:created xsi:type="dcterms:W3CDTF">2026-04-05T15:37:15Z</dcterms:created>
  <dcterms:modified xsi:type="dcterms:W3CDTF">2026-04-05T15:37:15Z</dcterms:modified>
</cp:coreProperties>
</file>